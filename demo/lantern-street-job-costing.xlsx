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s" sheetId="1" state="visible" r:id="rId1"/>
    <sheet xmlns:r="http://schemas.openxmlformats.org/officeDocument/2006/relationships" name="Labor" sheetId="2" state="visible" r:id="rId2"/>
    <sheet xmlns:r="http://schemas.openxmlformats.org/officeDocument/2006/relationships" name="Materials" sheetId="3" state="visible" r:id="rId3"/>
    <sheet xmlns:r="http://schemas.openxmlformats.org/officeDocument/2006/relationships" name="Ra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yyyy-mm-dd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2580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4" fontId="0" fillId="0" borderId="0" pivotButton="0" quotePrefix="0" xfId="0"/>
    <xf numFmtId="164" fontId="0" fillId="0" borderId="0" pivotButton="0" quotePrefix="0" xfId="0"/>
    <xf numFmtId="0" fontId="2" fillId="0" borderId="0" pivotButton="0" quotePrefix="0" xfId="0"/>
    <xf numFmtId="4" fontId="2" fillId="0" borderId="0" pivotButton="0" quotePrefix="0" xfId="0"/>
    <xf numFmtId="164" fontId="2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4" customWidth="1" min="3" max="3"/>
    <col width="12" customWidth="1" min="4" max="4"/>
    <col width="13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0" customWidth="1" min="11" max="11"/>
  </cols>
  <sheetData>
    <row r="1">
      <c r="A1" s="1" t="inlineStr">
        <is>
          <t>Job #</t>
        </is>
      </c>
      <c r="B1" s="1" t="inlineStr">
        <is>
          <t>Customer</t>
        </is>
      </c>
      <c r="C1" s="1" t="inlineStr">
        <is>
          <t>Description</t>
        </is>
      </c>
      <c r="D1" s="1" t="inlineStr">
        <is>
          <t>Quote</t>
        </is>
      </c>
      <c r="E1" s="1" t="inlineStr">
        <is>
          <t>Status</t>
        </is>
      </c>
      <c r="F1" s="1" t="inlineStr">
        <is>
          <t>Labor</t>
        </is>
      </c>
      <c r="G1" s="1" t="inlineStr">
        <is>
          <t>Materials</t>
        </is>
      </c>
      <c r="H1" s="1" t="inlineStr">
        <is>
          <t>Total cost</t>
        </is>
      </c>
      <c r="I1" s="1" t="inlineStr">
        <is>
          <t>Billed</t>
        </is>
      </c>
      <c r="J1" s="1" t="inlineStr">
        <is>
          <t>Profit</t>
        </is>
      </c>
      <c r="K1" s="1" t="inlineStr">
        <is>
          <t>Margin</t>
        </is>
      </c>
    </row>
    <row r="2">
      <c r="A2" t="inlineStr">
        <is>
          <t>J-1001</t>
        </is>
      </c>
      <c r="B2" t="inlineStr">
        <is>
          <t>Okafor Dental</t>
        </is>
      </c>
      <c r="C2" t="inlineStr">
        <is>
          <t>Panel upgrade</t>
        </is>
      </c>
      <c r="D2" s="2" t="n">
        <v>3750</v>
      </c>
      <c r="E2" t="inlineStr">
        <is>
          <t>Complete</t>
        </is>
      </c>
      <c r="F2" s="2">
        <f>SUMIF(Labor!$B$2:$B$40,A2,Labor!$G$2:$G$40)</f>
        <v/>
      </c>
      <c r="G2" s="2">
        <f>SUMIF(Materials!$B$2:$B$200,A2,Materials!$F$2:$F$200)</f>
        <v/>
      </c>
      <c r="H2" s="2">
        <f>F2+G2</f>
        <v/>
      </c>
      <c r="I2" s="2" t="n">
        <v>3750</v>
      </c>
      <c r="J2" s="2">
        <f>D2-H2</f>
        <v/>
      </c>
      <c r="K2" s="3">
        <f>J2/D2</f>
        <v/>
      </c>
    </row>
    <row r="3">
      <c r="A3" t="inlineStr">
        <is>
          <t>J-1002</t>
        </is>
      </c>
      <c r="B3" t="inlineStr">
        <is>
          <t>Haddad Bakery</t>
        </is>
      </c>
      <c r="C3" t="inlineStr">
        <is>
          <t>Oven circuit</t>
        </is>
      </c>
      <c r="D3" s="2" t="n">
        <v>6200</v>
      </c>
      <c r="E3" t="inlineStr">
        <is>
          <t>Complete</t>
        </is>
      </c>
      <c r="F3" s="2">
        <f>SUMIF(Labor!$B$2:$B$40,A3,Labor!$G$2:$G$40)</f>
        <v/>
      </c>
      <c r="G3" s="2">
        <f>SUMIF(Materials!$B$2:$B$200,A3,Materials!$F$2:$F$200)</f>
        <v/>
      </c>
      <c r="H3" s="2">
        <f>F3+G3</f>
        <v/>
      </c>
      <c r="I3" s="2" t="n">
        <v>6200</v>
      </c>
      <c r="J3" s="2">
        <f>D3-H3</f>
        <v/>
      </c>
      <c r="K3" s="3">
        <f>J3/D3</f>
        <v/>
      </c>
    </row>
    <row r="4">
      <c r="A4" t="inlineStr">
        <is>
          <t>J-1003</t>
        </is>
      </c>
      <c r="B4" t="inlineStr">
        <is>
          <t>Brooks Residence</t>
        </is>
      </c>
      <c r="C4" t="inlineStr">
        <is>
          <t>EV charger install</t>
        </is>
      </c>
      <c r="D4" s="2" t="n">
        <v>5500</v>
      </c>
      <c r="E4" t="inlineStr">
        <is>
          <t>Complete</t>
        </is>
      </c>
      <c r="F4" s="2">
        <f>SUMIF(Labor!$B$2:$B$40,A4,Labor!$G$2:$G$40)</f>
        <v/>
      </c>
      <c r="G4" s="2">
        <f>SUMIF(Materials!$B$2:$B$200,A4,Materials!$F$2:$F$200)</f>
        <v/>
      </c>
      <c r="H4" s="2">
        <f>F4+G4</f>
        <v/>
      </c>
      <c r="I4" s="2" t="n"/>
      <c r="J4" s="2">
        <f>D4-H4</f>
        <v/>
      </c>
      <c r="K4" s="3">
        <f>J4/D4</f>
        <v/>
      </c>
    </row>
    <row r="5">
      <c r="A5" t="inlineStr">
        <is>
          <t>J-1004</t>
        </is>
      </c>
      <c r="B5" t="inlineStr">
        <is>
          <t>Okafor Dental LLC</t>
        </is>
      </c>
      <c r="C5" t="inlineStr">
        <is>
          <t>Operatory lighting</t>
        </is>
      </c>
      <c r="D5" s="2" t="n">
        <v>4400</v>
      </c>
      <c r="E5" t="inlineStr">
        <is>
          <t>Complete</t>
        </is>
      </c>
      <c r="F5" s="2">
        <f>SUMIF(Labor!$B$2:$B$40,A5,Labor!$G$2:$G$40)</f>
        <v/>
      </c>
      <c r="G5" s="2" t="n">
        <v>1850</v>
      </c>
      <c r="H5" s="2">
        <f>F5+G5</f>
        <v/>
      </c>
      <c r="I5" s="2" t="n">
        <v>4400</v>
      </c>
      <c r="J5" s="2">
        <f>D5-H5</f>
        <v/>
      </c>
      <c r="K5" s="3">
        <f>J5/D5</f>
        <v/>
      </c>
    </row>
    <row r="6">
      <c r="A6" t="inlineStr">
        <is>
          <t>J-1005</t>
        </is>
      </c>
      <c r="B6" t="inlineStr">
        <is>
          <t>Riverside Yoga</t>
        </is>
      </c>
      <c r="C6" t="inlineStr">
        <is>
          <t>Studio rewiring</t>
        </is>
      </c>
      <c r="D6" s="2" t="n">
        <v>7250</v>
      </c>
      <c r="E6" t="inlineStr">
        <is>
          <t>In progress</t>
        </is>
      </c>
      <c r="F6" s="2">
        <f>SUMIF(Labor!$B$2:$B$40,A6,Labor!$G$2:$G$40)</f>
        <v/>
      </c>
      <c r="G6" s="2">
        <f>SUMIF(Materials!$B$2:$B$200,A6,Materials!$F$2:$F$200)</f>
        <v/>
      </c>
      <c r="H6" s="2">
        <f>F6+G6</f>
        <v/>
      </c>
      <c r="I6" s="2" t="n">
        <v>3625</v>
      </c>
      <c r="J6" s="2">
        <f>D6-H6</f>
        <v/>
      </c>
      <c r="K6" s="3">
        <f>J6/D6</f>
        <v/>
      </c>
    </row>
    <row r="7">
      <c r="A7" t="inlineStr">
        <is>
          <t>J-1006</t>
        </is>
      </c>
      <c r="B7" t="inlineStr">
        <is>
          <t>Haddad Bakery</t>
        </is>
      </c>
      <c r="C7" t="inlineStr">
        <is>
          <t>Walk-in cooler feed</t>
        </is>
      </c>
      <c r="D7" s="2" t="n">
        <v>2500</v>
      </c>
      <c r="E7" t="inlineStr">
        <is>
          <t>Complete</t>
        </is>
      </c>
      <c r="F7" s="2">
        <f>SUMIF(Labor!$B$2:$B$40,A7,Labor!$G$2:$G$40)</f>
        <v/>
      </c>
      <c r="G7" s="2">
        <f>SUMIF(Materials!$B$2:$B$200,A7,Materials!$F$2:$F$200)</f>
        <v/>
      </c>
      <c r="H7" s="2">
        <f>F7+G7</f>
        <v/>
      </c>
      <c r="I7" s="2" t="n">
        <v>2500</v>
      </c>
      <c r="J7" s="2">
        <f>D7-H7</f>
        <v/>
      </c>
      <c r="K7" s="3">
        <f>J7/D7</f>
        <v/>
      </c>
    </row>
    <row r="8">
      <c r="A8" t="inlineStr">
        <is>
          <t>J-1007</t>
        </is>
      </c>
      <c r="B8" t="inlineStr">
        <is>
          <t>Okafor  Dental</t>
        </is>
      </c>
      <c r="C8" t="inlineStr">
        <is>
          <t>Sterilizer circuit</t>
        </is>
      </c>
      <c r="D8" s="2" t="n">
        <v>3850</v>
      </c>
      <c r="E8" t="inlineStr">
        <is>
          <t>In progress</t>
        </is>
      </c>
      <c r="F8" s="2">
        <f>SUMIF(Labor!$B$2:$B$40,A8,Labor!$G$2:$G$40)</f>
        <v/>
      </c>
      <c r="G8" s="2">
        <f>SUMIF(Materials!$B$2:$B$200,A8,Materials!$F$2:$F$200)</f>
        <v/>
      </c>
      <c r="H8" s="2">
        <f>F8+G8</f>
        <v/>
      </c>
      <c r="I8" s="2" t="n">
        <v>0</v>
      </c>
      <c r="J8" s="2">
        <f>D8-H8</f>
        <v/>
      </c>
      <c r="K8" s="3">
        <f>J8/D8</f>
        <v/>
      </c>
    </row>
    <row r="9">
      <c r="A9" t="inlineStr">
        <is>
          <t>J-1008</t>
        </is>
      </c>
      <c r="B9" t="inlineStr">
        <is>
          <t>Lin Residence</t>
        </is>
      </c>
      <c r="C9" t="inlineStr">
        <is>
          <t>Kitchen remodel</t>
        </is>
      </c>
      <c r="D9" s="2" t="n">
        <v>6650</v>
      </c>
      <c r="E9" t="inlineStr">
        <is>
          <t>In progress</t>
        </is>
      </c>
      <c r="F9" s="2">
        <f>SUMIF(Labor!$B$2:$B$40,A9,Labor!$G$2:$G$40)</f>
        <v/>
      </c>
      <c r="G9" s="2">
        <f>SUMIF(Materials!$B$2:$B$200,A9,Materials!$F$2:$F$200)</f>
        <v/>
      </c>
      <c r="H9" s="2">
        <f>F9+G9</f>
        <v/>
      </c>
      <c r="I9" s="2" t="n">
        <v>3325</v>
      </c>
      <c r="J9" s="2">
        <f>D9-H9</f>
        <v/>
      </c>
      <c r="K9" s="3">
        <f>J9/D9</f>
        <v/>
      </c>
    </row>
    <row r="10">
      <c r="A10" s="4" t="inlineStr"/>
      <c r="B10" s="4" t="inlineStr"/>
      <c r="C10" s="4" t="inlineStr">
        <is>
          <t>Totals</t>
        </is>
      </c>
      <c r="D10" s="5">
        <f>SUM(D2:D9)</f>
        <v/>
      </c>
      <c r="E10" s="4" t="inlineStr"/>
      <c r="F10" s="5">
        <f>SUM(F2:F9)</f>
        <v/>
      </c>
      <c r="G10" s="5">
        <f>SUM(G2:G9)</f>
        <v/>
      </c>
      <c r="H10" s="5">
        <f>SUM(H2:H9)</f>
        <v/>
      </c>
      <c r="I10" s="5">
        <f>SUM(I2:I9)</f>
        <v/>
      </c>
      <c r="J10" s="5">
        <f>SUM(J2:J9)</f>
        <v/>
      </c>
      <c r="K10" s="6">
        <f>J10/D10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3" customWidth="1" min="4" max="4"/>
    <col width="9" customWidth="1" min="5" max="5"/>
    <col width="9" customWidth="1" min="6" max="6"/>
    <col width="12" customWidth="1" min="7" max="7"/>
  </cols>
  <sheetData>
    <row r="1">
      <c r="A1" s="1" t="inlineStr">
        <is>
          <t>Date</t>
        </is>
      </c>
      <c r="B1" s="1" t="inlineStr">
        <is>
          <t>Job #</t>
        </is>
      </c>
      <c r="C1" s="1" t="inlineStr">
        <is>
          <t>Worker</t>
        </is>
      </c>
      <c r="D1" s="1" t="inlineStr">
        <is>
          <t>Role</t>
        </is>
      </c>
      <c r="E1" s="1" t="inlineStr">
        <is>
          <t>Hours</t>
        </is>
      </c>
      <c r="F1" s="1" t="inlineStr">
        <is>
          <t>Rate</t>
        </is>
      </c>
      <c r="G1" s="1" t="inlineStr">
        <is>
          <t>Cost</t>
        </is>
      </c>
    </row>
    <row r="2">
      <c r="A2" s="7" t="n">
        <v>46030</v>
      </c>
      <c r="B2" t="inlineStr">
        <is>
          <t>J-1001</t>
        </is>
      </c>
      <c r="C2" t="inlineStr">
        <is>
          <t>Marcus</t>
        </is>
      </c>
      <c r="D2" t="inlineStr">
        <is>
          <t>Journeyman</t>
        </is>
      </c>
      <c r="E2" t="n">
        <v>8</v>
      </c>
      <c r="F2" t="n">
        <v>48</v>
      </c>
      <c r="G2" s="2">
        <f>E2*F2</f>
        <v/>
      </c>
    </row>
    <row r="3">
      <c r="A3" s="7" t="n">
        <v>46031</v>
      </c>
      <c r="B3" t="inlineStr">
        <is>
          <t>J-1001</t>
        </is>
      </c>
      <c r="C3" t="inlineStr">
        <is>
          <t>Tobi</t>
        </is>
      </c>
      <c r="D3" t="inlineStr">
        <is>
          <t>Apprentice</t>
        </is>
      </c>
      <c r="E3" t="n">
        <v>4</v>
      </c>
      <c r="F3" t="n">
        <v>28</v>
      </c>
      <c r="G3" s="2">
        <f>E3*F3</f>
        <v/>
      </c>
    </row>
    <row r="4">
      <c r="A4" s="7" t="n">
        <v>46034</v>
      </c>
      <c r="B4" t="inlineStr">
        <is>
          <t>J-1001</t>
        </is>
      </c>
      <c r="C4" t="inlineStr">
        <is>
          <t>Marcus</t>
        </is>
      </c>
      <c r="D4" t="inlineStr">
        <is>
          <t>Journeyman</t>
        </is>
      </c>
      <c r="E4" t="n">
        <v>5</v>
      </c>
      <c r="F4" t="n">
        <v>48</v>
      </c>
      <c r="G4" s="2">
        <f>E4*F4</f>
        <v/>
      </c>
    </row>
    <row r="5">
      <c r="A5" s="7" t="n">
        <v>46035</v>
      </c>
      <c r="B5" t="inlineStr">
        <is>
          <t>J-1001</t>
        </is>
      </c>
      <c r="C5" t="inlineStr">
        <is>
          <t>Marcus</t>
        </is>
      </c>
      <c r="D5" t="inlineStr">
        <is>
          <t>Journeyman</t>
        </is>
      </c>
      <c r="E5" t="n">
        <v>6.5</v>
      </c>
      <c r="F5" t="n">
        <v>48</v>
      </c>
      <c r="G5" s="2">
        <f>E5*F5</f>
        <v/>
      </c>
    </row>
    <row r="6">
      <c r="A6" s="7" t="n">
        <v>46037</v>
      </c>
      <c r="B6" t="inlineStr">
        <is>
          <t>J-1001</t>
        </is>
      </c>
      <c r="C6" t="inlineStr">
        <is>
          <t>Tobi</t>
        </is>
      </c>
      <c r="D6" t="inlineStr">
        <is>
          <t>Apprentice</t>
        </is>
      </c>
      <c r="E6" t="n">
        <v>5</v>
      </c>
      <c r="F6" t="n">
        <v>28</v>
      </c>
      <c r="G6" s="2">
        <f>E6*F6</f>
        <v/>
      </c>
    </row>
    <row r="7">
      <c r="A7" s="7" t="n">
        <v>46038</v>
      </c>
      <c r="B7" t="inlineStr">
        <is>
          <t>J-1001</t>
        </is>
      </c>
      <c r="C7" t="inlineStr">
        <is>
          <t>Marcus</t>
        </is>
      </c>
      <c r="D7" t="inlineStr">
        <is>
          <t>Journeyman</t>
        </is>
      </c>
      <c r="E7" t="n">
        <v>6</v>
      </c>
      <c r="F7" t="n">
        <v>48</v>
      </c>
      <c r="G7" s="2">
        <f>E7*F7</f>
        <v/>
      </c>
    </row>
    <row r="8">
      <c r="A8" s="7" t="n">
        <v>46041</v>
      </c>
      <c r="B8" t="inlineStr">
        <is>
          <t>J-1001</t>
        </is>
      </c>
      <c r="C8" t="inlineStr">
        <is>
          <t>Marcus</t>
        </is>
      </c>
      <c r="D8" t="inlineStr">
        <is>
          <t>Journeyman</t>
        </is>
      </c>
      <c r="E8" t="n">
        <v>8</v>
      </c>
      <c r="F8" t="n">
        <v>48</v>
      </c>
      <c r="G8" s="2">
        <f>E8*F8</f>
        <v/>
      </c>
    </row>
    <row r="9">
      <c r="A9" s="7" t="n">
        <v>46042</v>
      </c>
      <c r="B9" t="inlineStr">
        <is>
          <t>J-1002</t>
        </is>
      </c>
      <c r="C9" t="inlineStr">
        <is>
          <t>Marcus</t>
        </is>
      </c>
      <c r="D9" t="inlineStr">
        <is>
          <t>Journeyman</t>
        </is>
      </c>
      <c r="E9" t="n">
        <v>6.5</v>
      </c>
      <c r="F9" t="n">
        <v>48</v>
      </c>
      <c r="G9" s="2">
        <f>E9*F9</f>
        <v/>
      </c>
    </row>
    <row r="10">
      <c r="A10" s="7" t="n">
        <v>46043</v>
      </c>
      <c r="B10" t="inlineStr">
        <is>
          <t>J-1002</t>
        </is>
      </c>
      <c r="C10" t="inlineStr">
        <is>
          <t>Marcus</t>
        </is>
      </c>
      <c r="D10" t="inlineStr">
        <is>
          <t>Journeyman</t>
        </is>
      </c>
      <c r="E10" t="n">
        <v>7.5</v>
      </c>
      <c r="F10" t="n">
        <v>48</v>
      </c>
      <c r="G10" s="2">
        <f>E10*F10</f>
        <v/>
      </c>
    </row>
    <row r="11">
      <c r="A11" s="7" t="n">
        <v>46045</v>
      </c>
      <c r="B11" t="inlineStr">
        <is>
          <t>J-1002</t>
        </is>
      </c>
      <c r="C11" t="inlineStr">
        <is>
          <t>Elena</t>
        </is>
      </c>
      <c r="D11" t="inlineStr">
        <is>
          <t>Journeyman</t>
        </is>
      </c>
      <c r="E11" t="n">
        <v>8</v>
      </c>
      <c r="F11" t="n">
        <v>48</v>
      </c>
      <c r="G11" s="2">
        <f>E11*F11</f>
        <v/>
      </c>
    </row>
    <row r="12">
      <c r="A12" s="7" t="n">
        <v>46049</v>
      </c>
      <c r="B12" t="inlineStr">
        <is>
          <t>J-1002</t>
        </is>
      </c>
      <c r="C12" t="inlineStr">
        <is>
          <t>Elena</t>
        </is>
      </c>
      <c r="D12" t="inlineStr">
        <is>
          <t>Journeyman</t>
        </is>
      </c>
      <c r="E12" t="n">
        <v>8</v>
      </c>
      <c r="F12" t="n">
        <v>48</v>
      </c>
      <c r="G12" s="2">
        <f>E12*F12</f>
        <v/>
      </c>
    </row>
    <row r="13">
      <c r="A13" s="7" t="n">
        <v>46056</v>
      </c>
      <c r="B13" t="inlineStr">
        <is>
          <t>J-1003</t>
        </is>
      </c>
      <c r="C13" t="inlineStr">
        <is>
          <t>Elena</t>
        </is>
      </c>
      <c r="D13" t="inlineStr">
        <is>
          <t>Journeyman</t>
        </is>
      </c>
      <c r="E13" t="n">
        <v>8</v>
      </c>
      <c r="F13" t="n">
        <v>48</v>
      </c>
      <c r="G13" s="2">
        <f>E13*F13</f>
        <v/>
      </c>
    </row>
    <row r="14">
      <c r="A14" s="7" t="n">
        <v>46057</v>
      </c>
      <c r="B14" t="inlineStr">
        <is>
          <t>J-1003</t>
        </is>
      </c>
      <c r="C14" t="inlineStr">
        <is>
          <t>Elena</t>
        </is>
      </c>
      <c r="D14" t="inlineStr">
        <is>
          <t>Journeyman</t>
        </is>
      </c>
      <c r="E14" t="n">
        <v>6.5</v>
      </c>
      <c r="F14" t="n">
        <v>48</v>
      </c>
      <c r="G14" s="2">
        <f>E14*F14</f>
        <v/>
      </c>
    </row>
    <row r="15">
      <c r="A15" s="7" t="n">
        <v>46058</v>
      </c>
      <c r="B15" t="inlineStr">
        <is>
          <t>J-1003</t>
        </is>
      </c>
      <c r="C15" t="inlineStr">
        <is>
          <t>Elena</t>
        </is>
      </c>
      <c r="D15" t="inlineStr">
        <is>
          <t>Journeyman</t>
        </is>
      </c>
      <c r="E15" t="n">
        <v>4</v>
      </c>
      <c r="F15" t="n">
        <v>48</v>
      </c>
      <c r="G15" s="2">
        <f>E15*F15</f>
        <v/>
      </c>
    </row>
    <row r="16">
      <c r="A16" s="7" t="n">
        <v>46063</v>
      </c>
      <c r="B16" t="inlineStr">
        <is>
          <t>J-1004</t>
        </is>
      </c>
      <c r="C16" t="inlineStr">
        <is>
          <t>Elena</t>
        </is>
      </c>
      <c r="D16" t="inlineStr">
        <is>
          <t>Journeyman</t>
        </is>
      </c>
      <c r="E16" t="n">
        <v>8</v>
      </c>
      <c r="F16" t="n">
        <v>48</v>
      </c>
      <c r="G16" s="2">
        <f>E16*F16</f>
        <v/>
      </c>
    </row>
    <row r="17">
      <c r="A17" s="7" t="n">
        <v>46065</v>
      </c>
      <c r="B17" t="inlineStr">
        <is>
          <t>J-1004</t>
        </is>
      </c>
      <c r="C17" t="inlineStr">
        <is>
          <t>Marcus</t>
        </is>
      </c>
      <c r="D17" t="inlineStr">
        <is>
          <t>Journeyman</t>
        </is>
      </c>
      <c r="E17" t="n">
        <v>4</v>
      </c>
      <c r="F17" t="n">
        <v>48</v>
      </c>
      <c r="G17" s="2">
        <f>E17*F17</f>
        <v/>
      </c>
    </row>
    <row r="18">
      <c r="A18" s="7" t="n">
        <v>46066</v>
      </c>
      <c r="B18" t="inlineStr">
        <is>
          <t>J-1004</t>
        </is>
      </c>
      <c r="C18" t="inlineStr">
        <is>
          <t>Elena</t>
        </is>
      </c>
      <c r="D18" t="inlineStr">
        <is>
          <t>Journeyman</t>
        </is>
      </c>
      <c r="E18" t="n">
        <v>4</v>
      </c>
      <c r="F18" t="n">
        <v>48</v>
      </c>
      <c r="G18" s="2">
        <f>E18*F18</f>
        <v/>
      </c>
    </row>
    <row r="19">
      <c r="A19" s="7" t="n">
        <v>46071</v>
      </c>
      <c r="B19" t="inlineStr">
        <is>
          <t>J-1004</t>
        </is>
      </c>
      <c r="C19" t="inlineStr">
        <is>
          <t>Elena</t>
        </is>
      </c>
      <c r="D19" t="inlineStr">
        <is>
          <t>Journeyman</t>
        </is>
      </c>
      <c r="E19" t="n">
        <v>6.5</v>
      </c>
      <c r="F19" t="n">
        <v>48</v>
      </c>
      <c r="G19" s="2">
        <f>E19*F19</f>
        <v/>
      </c>
    </row>
    <row r="20">
      <c r="A20" s="7" t="n">
        <v>46076</v>
      </c>
      <c r="B20" t="inlineStr">
        <is>
          <t>J-1004</t>
        </is>
      </c>
      <c r="C20" t="inlineStr">
        <is>
          <t>Elena</t>
        </is>
      </c>
      <c r="D20" t="inlineStr">
        <is>
          <t>Journeyman</t>
        </is>
      </c>
      <c r="E20" t="n">
        <v>6.5</v>
      </c>
      <c r="F20" t="n">
        <v>48</v>
      </c>
      <c r="G20" s="2">
        <f>E20*F20</f>
        <v/>
      </c>
    </row>
    <row r="21">
      <c r="A21" s="7" t="n">
        <v>46079</v>
      </c>
      <c r="B21" t="inlineStr">
        <is>
          <t>J-1004</t>
        </is>
      </c>
      <c r="C21" t="inlineStr">
        <is>
          <t>Marcus</t>
        </is>
      </c>
      <c r="D21" t="inlineStr">
        <is>
          <t>Journeyman</t>
        </is>
      </c>
      <c r="E21" t="n">
        <v>4</v>
      </c>
      <c r="F21" t="n">
        <v>48</v>
      </c>
      <c r="G21" s="2">
        <f>E21*F21</f>
        <v/>
      </c>
    </row>
    <row r="22">
      <c r="A22" s="7" t="n">
        <v>46080</v>
      </c>
      <c r="B22" t="inlineStr">
        <is>
          <t>J-1004</t>
        </is>
      </c>
      <c r="C22" t="inlineStr">
        <is>
          <t>Elena</t>
        </is>
      </c>
      <c r="D22" t="inlineStr">
        <is>
          <t>Journeyman</t>
        </is>
      </c>
      <c r="E22" t="n">
        <v>5</v>
      </c>
      <c r="F22" t="n">
        <v>48</v>
      </c>
      <c r="G22" s="2">
        <f>E22*F22</f>
        <v/>
      </c>
    </row>
    <row r="23">
      <c r="A23" s="7" t="n">
        <v>46083</v>
      </c>
      <c r="B23" t="inlineStr">
        <is>
          <t>J-1004</t>
        </is>
      </c>
      <c r="C23" t="inlineStr">
        <is>
          <t>Elena</t>
        </is>
      </c>
      <c r="D23" t="inlineStr">
        <is>
          <t>Journeyman</t>
        </is>
      </c>
      <c r="E23" t="n">
        <v>4</v>
      </c>
      <c r="F23" t="n">
        <v>48</v>
      </c>
      <c r="G23" s="2">
        <f>E23*F23</f>
        <v/>
      </c>
    </row>
    <row r="24">
      <c r="A24" s="7" t="n">
        <v>46085</v>
      </c>
      <c r="B24" t="inlineStr">
        <is>
          <t>J-1004</t>
        </is>
      </c>
      <c r="C24" t="inlineStr">
        <is>
          <t>Marcus</t>
        </is>
      </c>
      <c r="D24" t="inlineStr">
        <is>
          <t>Journeyman</t>
        </is>
      </c>
      <c r="E24" t="n">
        <v>7</v>
      </c>
      <c r="F24" t="n">
        <v>52</v>
      </c>
      <c r="G24" s="2">
        <f>E24*F24</f>
        <v/>
      </c>
    </row>
    <row r="25">
      <c r="A25" s="7" t="n">
        <v>46087</v>
      </c>
      <c r="B25" t="inlineStr">
        <is>
          <t>J-1006</t>
        </is>
      </c>
      <c r="C25" t="inlineStr">
        <is>
          <t>Elena</t>
        </is>
      </c>
      <c r="D25" t="inlineStr">
        <is>
          <t>Journeyman</t>
        </is>
      </c>
      <c r="E25" t="n">
        <v>6</v>
      </c>
      <c r="F25" t="n">
        <v>48</v>
      </c>
      <c r="G25" s="2">
        <f>E25*F25</f>
        <v/>
      </c>
    </row>
    <row r="26">
      <c r="A26" s="7" t="n">
        <v>46090</v>
      </c>
      <c r="B26" t="inlineStr">
        <is>
          <t>J-1006</t>
        </is>
      </c>
      <c r="C26" t="inlineStr">
        <is>
          <t>Tobi</t>
        </is>
      </c>
      <c r="D26" t="inlineStr">
        <is>
          <t>Apprentice</t>
        </is>
      </c>
      <c r="E26" s="8" t="inlineStr">
        <is>
          <t>7,5</t>
        </is>
      </c>
      <c r="F26" t="n">
        <v>28</v>
      </c>
      <c r="G26" s="2" t="n"/>
    </row>
    <row r="27">
      <c r="A27" s="7" t="n">
        <v>46091</v>
      </c>
      <c r="B27" t="inlineStr">
        <is>
          <t>J-1006</t>
        </is>
      </c>
      <c r="C27" t="inlineStr">
        <is>
          <t>Tobi</t>
        </is>
      </c>
      <c r="D27" t="inlineStr">
        <is>
          <t>Apprentice</t>
        </is>
      </c>
      <c r="E27" t="n">
        <v>7</v>
      </c>
      <c r="F27" t="n">
        <v>28</v>
      </c>
      <c r="G27" s="2">
        <f>E27*F27</f>
        <v/>
      </c>
    </row>
    <row r="28">
      <c r="A28" s="7" t="n">
        <v>46092</v>
      </c>
      <c r="B28" t="inlineStr">
        <is>
          <t>J-1O05</t>
        </is>
      </c>
      <c r="C28" t="inlineStr">
        <is>
          <t>Tobi</t>
        </is>
      </c>
      <c r="D28" t="inlineStr">
        <is>
          <t>Apprentice</t>
        </is>
      </c>
      <c r="E28" t="n">
        <v>4</v>
      </c>
      <c r="F28" t="n">
        <v>28</v>
      </c>
      <c r="G28" s="2">
        <f>E28*F28</f>
        <v/>
      </c>
    </row>
    <row r="29">
      <c r="A29" s="7" t="n">
        <v>46092</v>
      </c>
      <c r="B29" t="inlineStr">
        <is>
          <t>J-1006</t>
        </is>
      </c>
      <c r="C29" t="inlineStr">
        <is>
          <t>Marcus</t>
        </is>
      </c>
      <c r="D29" t="inlineStr">
        <is>
          <t>Journeyman</t>
        </is>
      </c>
      <c r="E29" t="n">
        <v>6.5</v>
      </c>
      <c r="F29" t="n">
        <v>52</v>
      </c>
      <c r="G29" s="2">
        <f>E29*F29</f>
        <v/>
      </c>
    </row>
    <row r="30">
      <c r="A30" s="7" t="n">
        <v>46093</v>
      </c>
      <c r="B30" t="inlineStr">
        <is>
          <t>J-1006</t>
        </is>
      </c>
      <c r="C30" t="inlineStr">
        <is>
          <t>Tobi</t>
        </is>
      </c>
      <c r="D30" t="inlineStr">
        <is>
          <t>Apprentice</t>
        </is>
      </c>
      <c r="E30" t="n">
        <v>7.5</v>
      </c>
      <c r="F30" t="n">
        <v>28</v>
      </c>
      <c r="G30" s="2">
        <f>E30*F30</f>
        <v/>
      </c>
    </row>
    <row r="31">
      <c r="A31" s="7" t="n">
        <v>46094</v>
      </c>
      <c r="B31" t="inlineStr">
        <is>
          <t>J-1005</t>
        </is>
      </c>
      <c r="C31" t="inlineStr">
        <is>
          <t>Elena</t>
        </is>
      </c>
      <c r="D31" t="inlineStr">
        <is>
          <t>Journeyman</t>
        </is>
      </c>
      <c r="E31" t="n">
        <v>6.5</v>
      </c>
      <c r="F31" t="n">
        <v>48</v>
      </c>
      <c r="G31" s="2">
        <f>E31*F31</f>
        <v/>
      </c>
    </row>
    <row r="32">
      <c r="A32" s="7" t="n">
        <v>46105</v>
      </c>
      <c r="B32" t="inlineStr">
        <is>
          <t>J-1005</t>
        </is>
      </c>
      <c r="C32" t="inlineStr">
        <is>
          <t>Tobi</t>
        </is>
      </c>
      <c r="D32" t="inlineStr">
        <is>
          <t>Apprentice</t>
        </is>
      </c>
      <c r="E32" t="n">
        <v>8</v>
      </c>
      <c r="F32" t="n">
        <v>28</v>
      </c>
      <c r="G32" s="2">
        <f>E32*F32</f>
        <v/>
      </c>
    </row>
    <row r="33">
      <c r="A33" s="7" t="n">
        <v>46106</v>
      </c>
      <c r="B33" t="inlineStr">
        <is>
          <t>J-1005</t>
        </is>
      </c>
      <c r="C33" t="inlineStr">
        <is>
          <t>Marcus</t>
        </is>
      </c>
      <c r="D33" t="inlineStr">
        <is>
          <t>Journeyman</t>
        </is>
      </c>
      <c r="E33" t="n">
        <v>8</v>
      </c>
      <c r="F33" t="n">
        <v>52</v>
      </c>
      <c r="G33" s="2">
        <f>E33*F33</f>
        <v/>
      </c>
    </row>
    <row r="34">
      <c r="A34" s="7" t="n">
        <v>46108</v>
      </c>
      <c r="B34" t="inlineStr">
        <is>
          <t>J-1005</t>
        </is>
      </c>
      <c r="C34" t="inlineStr">
        <is>
          <t>Marcus</t>
        </is>
      </c>
      <c r="D34" t="inlineStr">
        <is>
          <t>Journeyman</t>
        </is>
      </c>
      <c r="E34" t="n">
        <v>8</v>
      </c>
      <c r="F34" t="n">
        <v>52</v>
      </c>
      <c r="G34" s="2">
        <f>E34*F34</f>
        <v/>
      </c>
    </row>
    <row r="35">
      <c r="A35" s="7" t="n">
        <v>46111</v>
      </c>
      <c r="B35" t="inlineStr">
        <is>
          <t>J-1008</t>
        </is>
      </c>
      <c r="C35" t="inlineStr">
        <is>
          <t>Elena</t>
        </is>
      </c>
      <c r="D35" t="inlineStr">
        <is>
          <t>Journeyman</t>
        </is>
      </c>
      <c r="E35" t="n">
        <v>6</v>
      </c>
      <c r="F35" t="n">
        <v>48</v>
      </c>
      <c r="G35" s="2">
        <f>E35*F35</f>
        <v/>
      </c>
    </row>
    <row r="36">
      <c r="A36" s="7" t="n">
        <v>46112</v>
      </c>
      <c r="B36" t="inlineStr">
        <is>
          <t>J-1005</t>
        </is>
      </c>
      <c r="C36" t="inlineStr">
        <is>
          <t>Tobi</t>
        </is>
      </c>
      <c r="D36" t="inlineStr">
        <is>
          <t>Apprentice</t>
        </is>
      </c>
      <c r="E36" t="n">
        <v>7.5</v>
      </c>
      <c r="F36" t="n">
        <v>28</v>
      </c>
      <c r="G36" s="2">
        <f>E36*F36</f>
        <v/>
      </c>
    </row>
    <row r="37">
      <c r="A37" s="7" t="n">
        <v>46113</v>
      </c>
      <c r="B37" t="inlineStr">
        <is>
          <t>J-1005</t>
        </is>
      </c>
      <c r="C37" t="inlineStr">
        <is>
          <t>Elena</t>
        </is>
      </c>
      <c r="D37" t="inlineStr">
        <is>
          <t>Journeyman</t>
        </is>
      </c>
      <c r="E37" t="n">
        <v>7.5</v>
      </c>
      <c r="F37" t="n">
        <v>52</v>
      </c>
      <c r="G37" s="2">
        <f>E37*F37</f>
        <v/>
      </c>
    </row>
    <row r="38">
      <c r="A38" s="7" t="n">
        <v>46113</v>
      </c>
      <c r="B38" t="inlineStr">
        <is>
          <t>J-1008</t>
        </is>
      </c>
      <c r="C38" t="inlineStr">
        <is>
          <t>Elena</t>
        </is>
      </c>
      <c r="D38" t="inlineStr">
        <is>
          <t>Journeyman</t>
        </is>
      </c>
      <c r="E38" t="n">
        <v>7.5</v>
      </c>
      <c r="F38" t="n">
        <v>52</v>
      </c>
      <c r="G38" s="2">
        <f>E38*F38</f>
        <v/>
      </c>
    </row>
    <row r="39">
      <c r="A39" s="7" t="n">
        <v>46119</v>
      </c>
      <c r="B39" t="inlineStr">
        <is>
          <t>J-1007</t>
        </is>
      </c>
      <c r="C39" t="inlineStr">
        <is>
          <t>Marcus</t>
        </is>
      </c>
      <c r="D39" t="inlineStr">
        <is>
          <t>Journeyman</t>
        </is>
      </c>
      <c r="E39" t="n">
        <v>5</v>
      </c>
      <c r="F39" t="n">
        <v>52</v>
      </c>
      <c r="G39" s="2">
        <f>E39*F39</f>
        <v/>
      </c>
    </row>
    <row r="40">
      <c r="A40" s="7" t="n">
        <v>46119</v>
      </c>
      <c r="B40" t="inlineStr">
        <is>
          <t>J-1008</t>
        </is>
      </c>
      <c r="C40" t="inlineStr">
        <is>
          <t>Elena</t>
        </is>
      </c>
      <c r="D40" t="inlineStr">
        <is>
          <t>Journeyman</t>
        </is>
      </c>
      <c r="E40" t="n">
        <v>4</v>
      </c>
      <c r="F40" t="n">
        <v>52</v>
      </c>
      <c r="G40" s="2">
        <f>E40*F40</f>
        <v/>
      </c>
    </row>
    <row r="41">
      <c r="A41" s="7" t="n">
        <v>46120</v>
      </c>
      <c r="B41" t="inlineStr">
        <is>
          <t>J-1008</t>
        </is>
      </c>
      <c r="C41" t="inlineStr">
        <is>
          <t>Tobi</t>
        </is>
      </c>
      <c r="D41" t="inlineStr">
        <is>
          <t>Apprentice</t>
        </is>
      </c>
      <c r="E41" t="n">
        <v>7.5</v>
      </c>
      <c r="F41" t="n">
        <v>28</v>
      </c>
      <c r="G41" s="2">
        <f>E41*F41</f>
        <v/>
      </c>
    </row>
    <row r="42">
      <c r="A42" s="7" t="n">
        <v>46121</v>
      </c>
      <c r="B42" t="inlineStr">
        <is>
          <t>J-1005</t>
        </is>
      </c>
      <c r="C42" t="inlineStr">
        <is>
          <t>Elena</t>
        </is>
      </c>
      <c r="D42" t="inlineStr">
        <is>
          <t>Journeyman</t>
        </is>
      </c>
      <c r="E42" t="n">
        <v>8</v>
      </c>
      <c r="F42" t="n">
        <v>52</v>
      </c>
      <c r="G42" s="2">
        <f>E42*F42</f>
        <v/>
      </c>
    </row>
    <row r="43">
      <c r="A43" s="7" t="n">
        <v>46121</v>
      </c>
      <c r="B43" t="inlineStr">
        <is>
          <t>J-1007</t>
        </is>
      </c>
      <c r="C43" t="inlineStr">
        <is>
          <t>Elena</t>
        </is>
      </c>
      <c r="D43" t="inlineStr">
        <is>
          <t>Journeyman</t>
        </is>
      </c>
      <c r="E43" t="n">
        <v>5</v>
      </c>
      <c r="F43" t="n">
        <v>52</v>
      </c>
      <c r="G43" s="2">
        <f>E43*F43</f>
        <v/>
      </c>
    </row>
    <row r="44">
      <c r="A44" s="7" t="n">
        <v>46122</v>
      </c>
      <c r="B44" t="inlineStr">
        <is>
          <t>J-1005</t>
        </is>
      </c>
      <c r="C44" t="inlineStr">
        <is>
          <t>Elena</t>
        </is>
      </c>
      <c r="D44" t="inlineStr">
        <is>
          <t>Journeyman</t>
        </is>
      </c>
      <c r="E44" t="n">
        <v>4</v>
      </c>
      <c r="F44" t="n">
        <v>52</v>
      </c>
      <c r="G44" s="2">
        <f>E44*F44</f>
        <v/>
      </c>
    </row>
    <row r="45">
      <c r="A45" s="7" t="n">
        <v>46122</v>
      </c>
      <c r="B45" t="inlineStr">
        <is>
          <t>J-1008</t>
        </is>
      </c>
      <c r="C45" t="inlineStr">
        <is>
          <t>Tobi</t>
        </is>
      </c>
      <c r="D45" t="inlineStr">
        <is>
          <t>Apprentice</t>
        </is>
      </c>
      <c r="E45" t="n">
        <v>6.5</v>
      </c>
      <c r="F45" t="n">
        <v>28</v>
      </c>
      <c r="G45" s="2">
        <f>E45*F45</f>
        <v/>
      </c>
    </row>
    <row r="46">
      <c r="A46" s="7" t="n">
        <v>46126</v>
      </c>
      <c r="B46" t="inlineStr">
        <is>
          <t>J-1005</t>
        </is>
      </c>
      <c r="C46" t="inlineStr">
        <is>
          <t>Elena</t>
        </is>
      </c>
      <c r="D46" t="inlineStr">
        <is>
          <t>Journeyman</t>
        </is>
      </c>
      <c r="E46" t="n">
        <v>6.5</v>
      </c>
      <c r="F46" t="n">
        <v>52</v>
      </c>
      <c r="G46" s="2">
        <f>E46*F46</f>
        <v/>
      </c>
    </row>
    <row r="47">
      <c r="A47" s="7" t="n">
        <v>46126</v>
      </c>
      <c r="B47" t="inlineStr">
        <is>
          <t>J-1007</t>
        </is>
      </c>
      <c r="C47" t="inlineStr">
        <is>
          <t>Elena</t>
        </is>
      </c>
      <c r="D47" t="inlineStr">
        <is>
          <t>Journeyman</t>
        </is>
      </c>
      <c r="E47" t="n">
        <v>8</v>
      </c>
      <c r="F47" t="n">
        <v>52</v>
      </c>
      <c r="G47" s="2">
        <f>E47*F47</f>
        <v/>
      </c>
    </row>
    <row r="48">
      <c r="A48" s="7" t="n">
        <v>46127</v>
      </c>
      <c r="B48" t="inlineStr">
        <is>
          <t>J-1008</t>
        </is>
      </c>
      <c r="C48" t="inlineStr">
        <is>
          <t>Marcus</t>
        </is>
      </c>
      <c r="D48" t="inlineStr">
        <is>
          <t>Journeyman</t>
        </is>
      </c>
      <c r="E48" t="n">
        <v>8</v>
      </c>
      <c r="F48" t="n">
        <v>52</v>
      </c>
      <c r="G48" s="2">
        <f>E48*F48</f>
        <v/>
      </c>
    </row>
    <row r="49">
      <c r="A49" s="7" t="n">
        <v>46129</v>
      </c>
      <c r="B49" t="inlineStr">
        <is>
          <t>J-1005</t>
        </is>
      </c>
      <c r="C49" t="inlineStr">
        <is>
          <t>Marcus</t>
        </is>
      </c>
      <c r="D49" t="inlineStr">
        <is>
          <t>Journeyman</t>
        </is>
      </c>
      <c r="E49" t="n">
        <v>7.5</v>
      </c>
      <c r="F49" t="n">
        <v>52</v>
      </c>
      <c r="G49" s="2">
        <f>E49*F49</f>
        <v/>
      </c>
    </row>
    <row r="50">
      <c r="A50" s="7" t="n">
        <v>46133</v>
      </c>
      <c r="B50" t="inlineStr">
        <is>
          <t>J-1008</t>
        </is>
      </c>
      <c r="C50" t="inlineStr">
        <is>
          <t>Tobi</t>
        </is>
      </c>
      <c r="D50" t="inlineStr">
        <is>
          <t>Apprentice</t>
        </is>
      </c>
      <c r="E50" t="n">
        <v>7.5</v>
      </c>
      <c r="F50" t="n">
        <v>28</v>
      </c>
      <c r="G50" s="2">
        <f>E50*F50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8" customWidth="1" min="3" max="3"/>
    <col width="8" customWidth="1" min="4" max="4"/>
    <col width="11" customWidth="1" min="5" max="5"/>
    <col width="12" customWidth="1" min="6" max="6"/>
  </cols>
  <sheetData>
    <row r="1">
      <c r="A1" s="1" t="inlineStr">
        <is>
          <t>Date</t>
        </is>
      </c>
      <c r="B1" s="1" t="inlineStr">
        <is>
          <t>Job #</t>
        </is>
      </c>
      <c r="C1" s="1" t="inlineStr">
        <is>
          <t>Item</t>
        </is>
      </c>
      <c r="D1" s="1" t="inlineStr">
        <is>
          <t>Qty</t>
        </is>
      </c>
      <c r="E1" s="1" t="inlineStr">
        <is>
          <t>Unit cost</t>
        </is>
      </c>
      <c r="F1" s="1" t="inlineStr">
        <is>
          <t>Cost</t>
        </is>
      </c>
    </row>
    <row r="2">
      <c r="A2" s="7" t="n">
        <v>46030</v>
      </c>
      <c r="B2" t="inlineStr">
        <is>
          <t>J-1001</t>
        </is>
      </c>
      <c r="C2" t="inlineStr">
        <is>
          <t>Recessed can light</t>
        </is>
      </c>
      <c r="D2" t="n">
        <v>3</v>
      </c>
      <c r="E2" t="n">
        <v>27.4</v>
      </c>
      <c r="F2" s="2">
        <f>D2*E2</f>
        <v/>
      </c>
    </row>
    <row r="3">
      <c r="A3" s="7" t="n">
        <v>46034</v>
      </c>
      <c r="B3" t="inlineStr">
        <is>
          <t>J-1001</t>
        </is>
      </c>
      <c r="C3" t="inlineStr">
        <is>
          <t>20A breaker</t>
        </is>
      </c>
      <c r="D3" t="n">
        <v>12</v>
      </c>
      <c r="E3" t="n">
        <v>11.75</v>
      </c>
      <c r="F3" s="2">
        <f>D3*E3</f>
        <v/>
      </c>
    </row>
    <row r="4">
      <c r="A4" s="7" t="n">
        <v>46034</v>
      </c>
      <c r="B4" t="inlineStr">
        <is>
          <t>J-1001</t>
        </is>
      </c>
      <c r="C4" t="inlineStr">
        <is>
          <t>Sub-panel 100A</t>
        </is>
      </c>
      <c r="D4" t="n">
        <v>3</v>
      </c>
      <c r="E4" t="n">
        <v>189</v>
      </c>
      <c r="F4" s="2">
        <f>D4*E4</f>
        <v/>
      </c>
    </row>
    <row r="5">
      <c r="A5" s="7" t="n">
        <v>46042</v>
      </c>
      <c r="B5" t="inlineStr">
        <is>
          <t>J-1002</t>
        </is>
      </c>
      <c r="C5" t="inlineStr">
        <is>
          <t>Disconnect 60A</t>
        </is>
      </c>
      <c r="D5" t="n">
        <v>8</v>
      </c>
      <c r="E5" t="n">
        <v>74.25</v>
      </c>
      <c r="F5" s="2">
        <f>D5*E5</f>
        <v/>
      </c>
    </row>
    <row r="6">
      <c r="A6" s="7" t="n">
        <v>46042</v>
      </c>
      <c r="B6" t="inlineStr">
        <is>
          <t>J-1002</t>
        </is>
      </c>
      <c r="C6" t="inlineStr">
        <is>
          <t>Disconnect 60A</t>
        </is>
      </c>
      <c r="D6" t="n">
        <v>8</v>
      </c>
      <c r="E6" t="n">
        <v>74.25</v>
      </c>
      <c r="F6" s="2">
        <f>D6*E6</f>
        <v/>
      </c>
    </row>
    <row r="7">
      <c r="A7" s="7" t="n">
        <v>46043</v>
      </c>
      <c r="B7" t="inlineStr">
        <is>
          <t>J-1002</t>
        </is>
      </c>
      <c r="C7" t="inlineStr">
        <is>
          <t>12/2 Romex, 250 ft</t>
        </is>
      </c>
      <c r="D7" t="n">
        <v>4</v>
      </c>
      <c r="E7" t="n">
        <v>138</v>
      </c>
      <c r="F7" s="2">
        <f>D7*E7</f>
        <v/>
      </c>
    </row>
    <row r="8">
      <c r="A8" s="7" t="n">
        <v>46043</v>
      </c>
      <c r="B8" t="inlineStr">
        <is>
          <t>J-1002</t>
        </is>
      </c>
      <c r="C8" t="inlineStr">
        <is>
          <t>Sub-panel 100A</t>
        </is>
      </c>
      <c r="D8" t="n">
        <v>10</v>
      </c>
      <c r="E8" t="n">
        <v>189</v>
      </c>
      <c r="F8" s="2">
        <f>D8*E8</f>
        <v/>
      </c>
    </row>
    <row r="9">
      <c r="A9" s="7" t="n">
        <v>46056</v>
      </c>
      <c r="B9" t="inlineStr">
        <is>
          <t>J-1003</t>
        </is>
      </c>
      <c r="C9" t="inlineStr">
        <is>
          <t>EMT conduit 3/4 in, 10 ft</t>
        </is>
      </c>
      <c r="D9" t="n">
        <v>8</v>
      </c>
      <c r="E9" t="n">
        <v>9.4</v>
      </c>
      <c r="F9" s="2">
        <f>D9*E9</f>
        <v/>
      </c>
    </row>
    <row r="10">
      <c r="A10" s="7" t="n">
        <v>46057</v>
      </c>
      <c r="B10" t="inlineStr">
        <is>
          <t>J-1003</t>
        </is>
      </c>
      <c r="C10" t="inlineStr">
        <is>
          <t>20A breaker</t>
        </is>
      </c>
      <c r="D10" t="n">
        <v>3</v>
      </c>
      <c r="E10" t="n">
        <v>11.75</v>
      </c>
      <c r="F10" s="2">
        <f>D10*E10</f>
        <v/>
      </c>
    </row>
    <row r="11">
      <c r="A11" s="7" t="n">
        <v>46057</v>
      </c>
      <c r="B11" t="inlineStr">
        <is>
          <t>J-1003</t>
        </is>
      </c>
      <c r="C11" t="inlineStr">
        <is>
          <t>LED troffer 2x4</t>
        </is>
      </c>
      <c r="D11" t="n">
        <v>6</v>
      </c>
      <c r="E11" t="n">
        <v>86.5</v>
      </c>
      <c r="F11" s="2">
        <f>D11*E11</f>
        <v/>
      </c>
    </row>
    <row r="12">
      <c r="A12" s="7" t="n">
        <v>46057</v>
      </c>
      <c r="B12" t="inlineStr">
        <is>
          <t>J-1003</t>
        </is>
      </c>
      <c r="C12" t="inlineStr">
        <is>
          <t>Sub-panel 100A</t>
        </is>
      </c>
      <c r="D12" t="n">
        <v>12</v>
      </c>
      <c r="E12" t="n">
        <v>189</v>
      </c>
      <c r="F12" s="2">
        <f>D12*E12</f>
        <v/>
      </c>
    </row>
    <row r="13">
      <c r="A13" s="7" t="n">
        <v>46063</v>
      </c>
      <c r="B13" t="inlineStr">
        <is>
          <t>J-1004</t>
        </is>
      </c>
      <c r="C13" t="inlineStr">
        <is>
          <t>EMT conduit 3/4 in, 10 ft</t>
        </is>
      </c>
      <c r="D13" t="n">
        <v>10</v>
      </c>
      <c r="E13" t="n">
        <v>9.4</v>
      </c>
      <c r="F13" s="2">
        <f>D13*E13</f>
        <v/>
      </c>
    </row>
    <row r="14">
      <c r="A14" s="7" t="n">
        <v>46066</v>
      </c>
      <c r="B14" t="inlineStr">
        <is>
          <t>J-1004</t>
        </is>
      </c>
      <c r="C14" t="inlineStr">
        <is>
          <t>Dimmer switch</t>
        </is>
      </c>
      <c r="D14" t="n">
        <v>2</v>
      </c>
      <c r="E14" t="n">
        <v>32.9</v>
      </c>
      <c r="F14" s="2">
        <f>D14*E14</f>
        <v/>
      </c>
    </row>
    <row r="15">
      <c r="A15" s="7" t="n">
        <v>46066</v>
      </c>
      <c r="B15" t="inlineStr">
        <is>
          <t>J-1004</t>
        </is>
      </c>
      <c r="C15" t="inlineStr">
        <is>
          <t>LED troffer 2x4</t>
        </is>
      </c>
      <c r="D15" t="n">
        <v>2</v>
      </c>
      <c r="E15" t="n">
        <v>86.5</v>
      </c>
      <c r="F15" s="2">
        <f>D15*E15</f>
        <v/>
      </c>
    </row>
    <row r="16">
      <c r="A16" s="7" t="n">
        <v>46071</v>
      </c>
      <c r="B16" t="inlineStr">
        <is>
          <t>J-1004</t>
        </is>
      </c>
      <c r="C16" t="inlineStr">
        <is>
          <t>Disconnect 60A</t>
        </is>
      </c>
      <c r="D16" t="n">
        <v>8</v>
      </c>
      <c r="E16" t="n">
        <v>74.25</v>
      </c>
      <c r="F16" s="2">
        <f>D16*E16</f>
        <v/>
      </c>
    </row>
    <row r="17">
      <c r="A17" s="7" t="n">
        <v>46083</v>
      </c>
      <c r="B17" t="inlineStr">
        <is>
          <t>J-1006</t>
        </is>
      </c>
      <c r="C17" t="inlineStr">
        <is>
          <t>12/2 Romex, 250 ft</t>
        </is>
      </c>
      <c r="D17" t="n">
        <v>2</v>
      </c>
      <c r="E17" t="n">
        <v>138</v>
      </c>
      <c r="F17" s="2">
        <f>D17*E17</f>
        <v/>
      </c>
    </row>
    <row r="18">
      <c r="A18" s="7" t="n">
        <v>46083</v>
      </c>
      <c r="B18" t="inlineStr">
        <is>
          <t>J-1006</t>
        </is>
      </c>
      <c r="C18" t="inlineStr">
        <is>
          <t>20A breaker</t>
        </is>
      </c>
      <c r="D18" t="n">
        <v>2</v>
      </c>
      <c r="E18" t="n">
        <v>11.75</v>
      </c>
      <c r="F18" s="2">
        <f>D18*E18</f>
        <v/>
      </c>
    </row>
    <row r="19">
      <c r="A19" s="7" t="n">
        <v>46086</v>
      </c>
      <c r="B19" t="inlineStr">
        <is>
          <t>J-1006</t>
        </is>
      </c>
      <c r="C19" t="inlineStr">
        <is>
          <t>Dimmer switch</t>
        </is>
      </c>
      <c r="D19" t="n">
        <v>8</v>
      </c>
      <c r="E19" t="n">
        <v>32.9</v>
      </c>
      <c r="F19" s="2">
        <f>D19*E19</f>
        <v/>
      </c>
    </row>
    <row r="20">
      <c r="A20" s="7" t="n">
        <v>46091</v>
      </c>
      <c r="B20" t="inlineStr">
        <is>
          <t>J-1005</t>
        </is>
      </c>
      <c r="C20" t="inlineStr">
        <is>
          <t>6/3 cable, 50 ft</t>
        </is>
      </c>
      <c r="D20" t="n">
        <v>12</v>
      </c>
      <c r="E20" t="n">
        <v>164</v>
      </c>
      <c r="F20" s="2">
        <f>D20*E20</f>
        <v/>
      </c>
    </row>
    <row r="21">
      <c r="A21" s="7" t="n">
        <v>46094</v>
      </c>
      <c r="B21" t="inlineStr">
        <is>
          <t>J-1005</t>
        </is>
      </c>
      <c r="C21" t="inlineStr">
        <is>
          <t>GFCI receptacle</t>
        </is>
      </c>
      <c r="D21" t="n">
        <v>3</v>
      </c>
      <c r="E21" t="n">
        <v>21.3</v>
      </c>
      <c r="F21" s="2">
        <f>D21*E21</f>
        <v/>
      </c>
    </row>
    <row r="22">
      <c r="A22" s="7" t="n">
        <v>46100</v>
      </c>
      <c r="B22" t="inlineStr">
        <is>
          <t>J-1005</t>
        </is>
      </c>
      <c r="C22" t="inlineStr">
        <is>
          <t>12/2 Romex, 250 ft</t>
        </is>
      </c>
      <c r="D22" t="n">
        <v>6</v>
      </c>
      <c r="E22" t="n">
        <v>138</v>
      </c>
      <c r="F22" s="2">
        <f>D22*E22</f>
        <v/>
      </c>
    </row>
    <row r="23">
      <c r="A23" s="7" t="n">
        <v>46107</v>
      </c>
      <c r="B23" t="inlineStr">
        <is>
          <t>J-1005</t>
        </is>
      </c>
      <c r="C23" t="inlineStr">
        <is>
          <t>EMT conduit 3/4 in, 10 ft</t>
        </is>
      </c>
      <c r="D23" t="n">
        <v>6</v>
      </c>
      <c r="E23" t="n">
        <v>9.4</v>
      </c>
      <c r="F23" s="2">
        <f>D23*E23</f>
        <v/>
      </c>
    </row>
    <row r="24">
      <c r="A24" s="7" t="n">
        <v>46108</v>
      </c>
      <c r="B24" t="inlineStr">
        <is>
          <t>J-1005</t>
        </is>
      </c>
      <c r="C24" t="inlineStr">
        <is>
          <t>20A breaker</t>
        </is>
      </c>
      <c r="D24" t="n">
        <v>4</v>
      </c>
      <c r="E24" t="n">
        <v>11.75</v>
      </c>
      <c r="F24" s="2">
        <f>D24*E24</f>
        <v/>
      </c>
    </row>
    <row r="25">
      <c r="A25" s="7" t="n">
        <v>46108</v>
      </c>
      <c r="B25" t="inlineStr">
        <is>
          <t>J-1008</t>
        </is>
      </c>
      <c r="C25" t="inlineStr">
        <is>
          <t>20A breaker</t>
        </is>
      </c>
      <c r="D25" t="n">
        <v>8</v>
      </c>
      <c r="E25" t="n">
        <v>11.75</v>
      </c>
      <c r="F25" s="2">
        <f>D25*E25</f>
        <v/>
      </c>
    </row>
    <row r="26">
      <c r="A26" s="7" t="n">
        <v>46113</v>
      </c>
      <c r="B26" t="inlineStr">
        <is>
          <t>J-1008</t>
        </is>
      </c>
      <c r="C26" t="inlineStr">
        <is>
          <t>6/3 cable, 50 ft</t>
        </is>
      </c>
      <c r="D26" t="n">
        <v>8</v>
      </c>
      <c r="E26" t="n">
        <v>164</v>
      </c>
      <c r="F26" s="2">
        <f>D26*E26</f>
        <v/>
      </c>
    </row>
    <row r="27">
      <c r="A27" s="7" t="n">
        <v>46113</v>
      </c>
      <c r="B27" t="inlineStr">
        <is>
          <t>J-1008</t>
        </is>
      </c>
      <c r="C27" t="inlineStr">
        <is>
          <t>LED troffer 2x4</t>
        </is>
      </c>
      <c r="D27" t="n">
        <v>3</v>
      </c>
      <c r="E27" t="n">
        <v>86.5</v>
      </c>
      <c r="F27" s="2">
        <f>D27*E27</f>
        <v/>
      </c>
    </row>
    <row r="28">
      <c r="A28" s="7" t="n">
        <v>46118</v>
      </c>
      <c r="B28" t="inlineStr">
        <is>
          <t>J-1008</t>
        </is>
      </c>
      <c r="C28" t="inlineStr">
        <is>
          <t>Sub-panel 100A</t>
        </is>
      </c>
      <c r="D28" t="n">
        <v>8</v>
      </c>
      <c r="E28" t="n">
        <v>189</v>
      </c>
      <c r="F28" s="2">
        <f>D28*E28</f>
        <v/>
      </c>
    </row>
    <row r="29">
      <c r="A29" s="7" t="n">
        <v>46119</v>
      </c>
      <c r="B29" t="inlineStr">
        <is>
          <t>J-1007</t>
        </is>
      </c>
      <c r="C29" t="inlineStr">
        <is>
          <t>6/3 cable, 50 ft</t>
        </is>
      </c>
      <c r="D29" t="n">
        <v>10</v>
      </c>
      <c r="E29" t="n">
        <v>164</v>
      </c>
      <c r="F29" s="2">
        <f>D29*E29</f>
        <v/>
      </c>
    </row>
    <row r="30">
      <c r="A30" s="7" t="n">
        <v>46120</v>
      </c>
      <c r="B30" t="inlineStr">
        <is>
          <t>J-1007</t>
        </is>
      </c>
      <c r="C30" t="inlineStr">
        <is>
          <t>GFCI receptacle</t>
        </is>
      </c>
      <c r="D30" t="n">
        <v>6</v>
      </c>
      <c r="E30" t="n">
        <v>21.3</v>
      </c>
      <c r="F30" s="2">
        <f>D30*E30</f>
        <v/>
      </c>
    </row>
    <row r="31">
      <c r="A31" s="7" t="n">
        <v>46120</v>
      </c>
      <c r="B31" t="inlineStr">
        <is>
          <t>J-1007</t>
        </is>
      </c>
      <c r="C31" t="inlineStr">
        <is>
          <t>Junction box</t>
        </is>
      </c>
      <c r="D31" t="n">
        <v>12</v>
      </c>
      <c r="E31" t="n">
        <v>4.85</v>
      </c>
      <c r="F31" s="2">
        <f>D31*E31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</cols>
  <sheetData>
    <row r="1">
      <c r="A1" s="1" t="inlineStr">
        <is>
          <t>Role</t>
        </is>
      </c>
      <c r="B1" s="1" t="inlineStr">
        <is>
          <t>Cost per hour</t>
        </is>
      </c>
      <c r="C1" s="1" t="inlineStr">
        <is>
          <t>From</t>
        </is>
      </c>
    </row>
    <row r="2">
      <c r="A2" t="inlineStr">
        <is>
          <t>Journeyman</t>
        </is>
      </c>
      <c r="B2" t="n">
        <v>48</v>
      </c>
      <c r="C2" s="7" t="n">
        <v>46023</v>
      </c>
    </row>
    <row r="3">
      <c r="A3" t="inlineStr">
        <is>
          <t>Journeyman</t>
        </is>
      </c>
      <c r="B3" t="n">
        <v>52</v>
      </c>
      <c r="C3" s="7" t="n">
        <v>46082</v>
      </c>
    </row>
    <row r="4">
      <c r="A4" t="inlineStr">
        <is>
          <t>Apprentice</t>
        </is>
      </c>
      <c r="B4" t="n">
        <v>28</v>
      </c>
      <c r="C4" s="7" t="n">
        <v>46023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2026-10-13T14:50:02Z</dcterms:created>
  <dcterms:modified xmlns:dcterms="http://purl.org/dc/terms/" xmlns:xsi="http://www.w3.org/2001/XMLSchema-instance" xsi:type="dcterms:W3CDTF">2026-10-13T14:50:02Z</dcterms:modified>
</cp:coreProperties>
</file>